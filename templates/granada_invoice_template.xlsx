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2f0d627af550f2c/デスクトップ/sisakku/templates/"/>
    </mc:Choice>
  </mc:AlternateContent>
  <xr:revisionPtr revIDLastSave="0" documentId="8_{C40FE4E8-44F2-4CDE-B4F9-522845539DA5}" xr6:coauthVersionLast="47" xr6:coauthVersionMax="47" xr10:uidLastSave="{00000000-0000-0000-0000-000000000000}"/>
  <bookViews>
    <workbookView xWindow="3420" yWindow="3420" windowWidth="28800" windowHeight="15910" xr2:uid="{1F1A09BE-119E-4F2E-8751-955BFE9D46EE}"/>
  </bookViews>
  <sheets>
    <sheet name="請求書テンプレート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9" i="1" l="1"/>
  <c r="C14" i="1" s="1"/>
  <c r="C28" i="1"/>
  <c r="D28" i="1" s="1"/>
  <c r="J26" i="1"/>
  <c r="J25" i="1"/>
  <c r="J24" i="1"/>
  <c r="J23" i="1"/>
  <c r="J22" i="1"/>
  <c r="J21" i="1"/>
  <c r="J20" i="1"/>
  <c r="J19" i="1"/>
  <c r="J18" i="1"/>
  <c r="C29" i="1" s="1"/>
  <c r="J27" i="1" l="1"/>
  <c r="J28" i="1" s="1"/>
  <c r="D29" i="1" s="1"/>
</calcChain>
</file>

<file path=xl/sharedStrings.xml><?xml version="1.0" encoding="utf-8"?>
<sst xmlns="http://schemas.openxmlformats.org/spreadsheetml/2006/main" count="40" uniqueCount="40">
  <si>
    <t>発行日：</t>
    <rPh sb="0" eb="3">
      <t>ハッコウビ</t>
    </rPh>
    <phoneticPr fontId="3"/>
  </si>
  <si>
    <t>書類番号：</t>
    <rPh sb="0" eb="2">
      <t>ショルイ</t>
    </rPh>
    <rPh sb="2" eb="4">
      <t>バンゴウ</t>
    </rPh>
    <phoneticPr fontId="3"/>
  </si>
  <si>
    <t>御 請 求 書</t>
    <rPh sb="0" eb="1">
      <t>ゴ</t>
    </rPh>
    <rPh sb="2" eb="3">
      <t>ショウ</t>
    </rPh>
    <rPh sb="4" eb="5">
      <t>モトム</t>
    </rPh>
    <rPh sb="6" eb="7">
      <t>ショ</t>
    </rPh>
    <phoneticPr fontId="3"/>
  </si>
  <si>
    <t>株式会社グラナダ 鉄板焼きかいか</t>
    <rPh sb="0" eb="4">
      <t>カブシキガイシャ</t>
    </rPh>
    <rPh sb="9" eb="11">
      <t>テッパン</t>
    </rPh>
    <rPh sb="11" eb="12">
      <t>ヤ</t>
    </rPh>
    <phoneticPr fontId="3"/>
  </si>
  <si>
    <t>御中</t>
    <rPh sb="0" eb="2">
      <t>オンチュウ</t>
    </rPh>
    <phoneticPr fontId="3"/>
  </si>
  <si>
    <t>阿部農園</t>
    <rPh sb="0" eb="4">
      <t>アベノウエン</t>
    </rPh>
    <phoneticPr fontId="3"/>
  </si>
  <si>
    <t>〒963-0211</t>
    <phoneticPr fontId="3"/>
  </si>
  <si>
    <t>福島県郡山市片平町字西大町一</t>
    <rPh sb="0" eb="3">
      <t>フクシマケン</t>
    </rPh>
    <rPh sb="3" eb="6">
      <t>コオリヤマシ</t>
    </rPh>
    <rPh sb="6" eb="14">
      <t>カタヒラマチアザニシオオマチイチ</t>
    </rPh>
    <phoneticPr fontId="3"/>
  </si>
  <si>
    <t>登録番号：T3810553743686</t>
    <phoneticPr fontId="3"/>
  </si>
  <si>
    <t>TEL：080-6030-3705</t>
    <phoneticPr fontId="3"/>
  </si>
  <si>
    <t>　</t>
    <phoneticPr fontId="3"/>
  </si>
  <si>
    <t>件名：</t>
    <rPh sb="0" eb="1">
      <t>ケン</t>
    </rPh>
    <rPh sb="1" eb="2">
      <t>メイ</t>
    </rPh>
    <phoneticPr fontId="3"/>
  </si>
  <si>
    <t>お米代</t>
    <rPh sb="1" eb="3">
      <t>コメダイ</t>
    </rPh>
    <phoneticPr fontId="3"/>
  </si>
  <si>
    <t>FAX：080-6030-3705</t>
    <phoneticPr fontId="3"/>
  </si>
  <si>
    <t>振込先：</t>
    <rPh sb="0" eb="1">
      <t>シン</t>
    </rPh>
    <phoneticPr fontId="3"/>
  </si>
  <si>
    <t>七十七銀行郡山支店 普通 5025573</t>
    <rPh sb="0" eb="3">
      <t>シチジュウシチ</t>
    </rPh>
    <rPh sb="3" eb="5">
      <t>ギンコウ</t>
    </rPh>
    <rPh sb="5" eb="7">
      <t>コオリヤマ</t>
    </rPh>
    <rPh sb="7" eb="9">
      <t>シテン</t>
    </rPh>
    <rPh sb="10" eb="12">
      <t>フツウ</t>
    </rPh>
    <phoneticPr fontId="3"/>
  </si>
  <si>
    <t>担当：阿部　喜臣</t>
    <rPh sb="0" eb="2">
      <t>タントウ</t>
    </rPh>
    <rPh sb="3" eb="5">
      <t>アベ</t>
    </rPh>
    <rPh sb="6" eb="8">
      <t>ヨシタカ</t>
    </rPh>
    <phoneticPr fontId="3"/>
  </si>
  <si>
    <t>阿部 喜臣（アベ ヨシタカ）</t>
    <rPh sb="0" eb="2">
      <t>アベ</t>
    </rPh>
    <rPh sb="3" eb="5">
      <t>ヨシタカ</t>
    </rPh>
    <phoneticPr fontId="3"/>
  </si>
  <si>
    <t>合計金額</t>
    <rPh sb="0" eb="2">
      <t>ゴウケイ</t>
    </rPh>
    <rPh sb="2" eb="4">
      <t>キンガク</t>
    </rPh>
    <phoneticPr fontId="3"/>
  </si>
  <si>
    <t>(税込)</t>
    <rPh sb="1" eb="3">
      <t>ゼイコ</t>
    </rPh>
    <phoneticPr fontId="3"/>
  </si>
  <si>
    <t>内　容</t>
    <rPh sb="0" eb="1">
      <t>ウチ</t>
    </rPh>
    <rPh sb="2" eb="3">
      <t>カタチ</t>
    </rPh>
    <phoneticPr fontId="3"/>
  </si>
  <si>
    <t>軽減</t>
    <rPh sb="0" eb="2">
      <t>ケイゲン</t>
    </rPh>
    <phoneticPr fontId="3"/>
  </si>
  <si>
    <t>数量(単位)</t>
    <rPh sb="0" eb="2">
      <t>スウリョウ</t>
    </rPh>
    <rPh sb="3" eb="5">
      <t>タンイ</t>
    </rPh>
    <phoneticPr fontId="3"/>
  </si>
  <si>
    <t>単価(税抜)</t>
    <rPh sb="0" eb="2">
      <t>タンカ</t>
    </rPh>
    <rPh sb="3" eb="5">
      <t>ゼイヌ</t>
    </rPh>
    <phoneticPr fontId="3"/>
  </si>
  <si>
    <t>税率</t>
    <rPh sb="0" eb="2">
      <t>ゼイリツ</t>
    </rPh>
    <phoneticPr fontId="3"/>
  </si>
  <si>
    <t>金額(税抜)</t>
    <rPh sb="0" eb="2">
      <t>キンガク</t>
    </rPh>
    <rPh sb="3" eb="5">
      <t>ゼイヌ</t>
    </rPh>
    <phoneticPr fontId="3"/>
  </si>
  <si>
    <t>令和7年度　福島県産 コシヒカリ (精米) 5㎏</t>
    <rPh sb="0" eb="2">
      <t>レイワ</t>
    </rPh>
    <rPh sb="3" eb="5">
      <t>ネンド</t>
    </rPh>
    <rPh sb="6" eb="10">
      <t>フクシマケンサン</t>
    </rPh>
    <rPh sb="18" eb="20">
      <t>セイマイ</t>
    </rPh>
    <phoneticPr fontId="3"/>
  </si>
  <si>
    <t>※</t>
    <phoneticPr fontId="3"/>
  </si>
  <si>
    <t>個</t>
    <rPh sb="0" eb="1">
      <t>コ</t>
    </rPh>
    <phoneticPr fontId="3"/>
  </si>
  <si>
    <t>税別内訳</t>
    <rPh sb="0" eb="2">
      <t>ゼイベツ</t>
    </rPh>
    <rPh sb="2" eb="4">
      <t>ウチワケ</t>
    </rPh>
    <phoneticPr fontId="3"/>
  </si>
  <si>
    <t>小計(税抜金額)</t>
    <rPh sb="0" eb="2">
      <t>ショウケイ</t>
    </rPh>
    <rPh sb="3" eb="5">
      <t>ゼイヌ</t>
    </rPh>
    <rPh sb="5" eb="7">
      <t>キンガク</t>
    </rPh>
    <phoneticPr fontId="3"/>
  </si>
  <si>
    <t>小計(税のみ)</t>
    <rPh sb="0" eb="2">
      <t>ショウケイ</t>
    </rPh>
    <rPh sb="3" eb="4">
      <t>ゼイ</t>
    </rPh>
    <phoneticPr fontId="3"/>
  </si>
  <si>
    <t>小計</t>
    <rPh sb="0" eb="2">
      <t>ショウケイ</t>
    </rPh>
    <phoneticPr fontId="3"/>
  </si>
  <si>
    <t>10%対象分</t>
    <rPh sb="3" eb="5">
      <t>タイショウ</t>
    </rPh>
    <rPh sb="5" eb="6">
      <t>ブン</t>
    </rPh>
    <phoneticPr fontId="3"/>
  </si>
  <si>
    <t>消費税</t>
    <rPh sb="0" eb="3">
      <t>ショウヒゼイ</t>
    </rPh>
    <phoneticPr fontId="3"/>
  </si>
  <si>
    <t>8%対象分</t>
    <rPh sb="2" eb="4">
      <t>タイショウ</t>
    </rPh>
    <rPh sb="4" eb="5">
      <t>ブン</t>
    </rPh>
    <phoneticPr fontId="3"/>
  </si>
  <si>
    <t>合計</t>
    <rPh sb="0" eb="2">
      <t>ゴウケイ</t>
    </rPh>
    <phoneticPr fontId="3"/>
  </si>
  <si>
    <t>備　考</t>
    <rPh sb="0" eb="1">
      <t>ビ</t>
    </rPh>
    <rPh sb="2" eb="3">
      <t>コウ</t>
    </rPh>
    <phoneticPr fontId="3"/>
  </si>
  <si>
    <t>「※」は軽減税率対象品目です
5kg税込4000円でのお約束のため、税額は合計から割り戻しています。</t>
    <rPh sb="18" eb="20">
      <t>ゼイコ</t>
    </rPh>
    <rPh sb="24" eb="25">
      <t>エン</t>
    </rPh>
    <rPh sb="28" eb="30">
      <t>ヤクソク</t>
    </rPh>
    <rPh sb="34" eb="36">
      <t>ゼイガク</t>
    </rPh>
    <rPh sb="37" eb="39">
      <t>ゴウケイ</t>
    </rPh>
    <rPh sb="41" eb="42">
      <t>ワ</t>
    </rPh>
    <rPh sb="43" eb="44">
      <t>モド</t>
    </rPh>
    <phoneticPr fontId="3"/>
  </si>
  <si>
    <t>下記の通り、御請求申し上げます。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</si>
</sst>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¥&quot;#,##0;[Red]&quot;¥&quot;\-#,##0"/>
  </numFmts>
  <fonts count="8" x14ac:knownFonts="1">
    <font>
      <sz val="11"/>
      <color theme="1"/>
      <name val="游ゴシック"/>
      <family val="2"/>
      <charset val="128"/>
    </font>
    <font>
      <sz val="11"/>
      <color theme="1"/>
      <name val="游ゴシック"/>
      <family val="2"/>
      <charset val="128"/>
    </font>
    <font>
      <sz val="11"/>
      <color theme="1"/>
      <name val="游ゴシック"/>
      <family val="3"/>
      <charset val="128"/>
    </font>
    <font>
      <sz val="6"/>
      <name val="游ゴシック"/>
      <family val="2"/>
      <charset val="128"/>
    </font>
    <font>
      <sz val="24"/>
      <color theme="1"/>
      <name val="游ゴシック"/>
      <family val="3"/>
      <charset val="128"/>
    </font>
    <font>
      <sz val="10"/>
      <color theme="1"/>
      <name val="游ゴシック"/>
      <family val="3"/>
      <charset val="128"/>
    </font>
    <font>
      <sz val="14"/>
      <color theme="1"/>
      <name val="游ゴシック"/>
      <family val="3"/>
      <charset val="128"/>
    </font>
    <font>
      <sz val="9"/>
      <color theme="1"/>
      <name val="游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hair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hair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2">
    <xf numFmtId="0" fontId="0" fillId="0" borderId="0">
      <alignment vertical="center"/>
    </xf>
    <xf numFmtId="6" fontId="1" fillId="0" borderId="0" applyFont="0" applyFill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31" fontId="2" fillId="0" borderId="0" xfId="0" applyNumberFormat="1" applyFont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20" fontId="2" fillId="0" borderId="0" xfId="0" applyNumberFormat="1" applyFont="1">
      <alignment vertical="center"/>
    </xf>
    <xf numFmtId="0" fontId="6" fillId="2" borderId="1" xfId="0" applyFont="1" applyFill="1" applyBorder="1" applyAlignment="1">
      <alignment horizontal="center" vertical="center"/>
    </xf>
    <xf numFmtId="6" fontId="6" fillId="0" borderId="1" xfId="1" applyFont="1" applyBorder="1" applyAlignment="1">
      <alignment horizontal="right" vertical="center" indent="1"/>
    </xf>
    <xf numFmtId="6" fontId="6" fillId="0" borderId="2" xfId="1" applyFont="1" applyBorder="1" applyAlignment="1">
      <alignment horizontal="right" vertical="center" indent="1"/>
    </xf>
    <xf numFmtId="0" fontId="2" fillId="0" borderId="3" xfId="0" applyFont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6" fontId="6" fillId="0" borderId="4" xfId="1" applyFont="1" applyBorder="1" applyAlignment="1">
      <alignment horizontal="right" vertical="center" indent="1"/>
    </xf>
    <xf numFmtId="6" fontId="6" fillId="0" borderId="5" xfId="1" applyFont="1" applyBorder="1" applyAlignment="1">
      <alignment horizontal="right" vertical="center" indent="1"/>
    </xf>
    <xf numFmtId="0" fontId="2" fillId="0" borderId="6" xfId="0" applyFont="1" applyBorder="1" applyAlignment="1">
      <alignment horizontal="center" vertical="center"/>
    </xf>
    <xf numFmtId="0" fontId="7" fillId="0" borderId="5" xfId="0" applyFont="1" applyBorder="1" applyAlignment="1"/>
    <xf numFmtId="0" fontId="7" fillId="0" borderId="5" xfId="0" applyFont="1" applyBorder="1" applyAlignment="1">
      <alignment horizont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left" vertical="center" indent="1"/>
    </xf>
    <xf numFmtId="0" fontId="7" fillId="0" borderId="8" xfId="0" applyFont="1" applyBorder="1" applyAlignment="1">
      <alignment horizontal="left" vertical="center" indent="1"/>
    </xf>
    <xf numFmtId="0" fontId="7" fillId="0" borderId="9" xfId="0" applyFont="1" applyBorder="1" applyAlignment="1">
      <alignment horizontal="left" vertical="center" indent="1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>
      <alignment vertical="center"/>
    </xf>
    <xf numFmtId="6" fontId="2" fillId="0" borderId="11" xfId="1" applyFont="1" applyBorder="1" applyAlignment="1">
      <alignment horizontal="right" vertical="center"/>
    </xf>
    <xf numFmtId="9" fontId="2" fillId="0" borderId="11" xfId="0" applyNumberFormat="1" applyFont="1" applyBorder="1">
      <alignment vertical="center"/>
    </xf>
    <xf numFmtId="6" fontId="2" fillId="0" borderId="11" xfId="1" applyFont="1" applyBorder="1" applyAlignment="1">
      <alignment vertical="center"/>
    </xf>
    <xf numFmtId="0" fontId="2" fillId="0" borderId="7" xfId="0" applyFont="1" applyBorder="1" applyAlignment="1">
      <alignment horizontal="left" vertical="center" indent="1"/>
    </xf>
    <xf numFmtId="0" fontId="2" fillId="0" borderId="8" xfId="0" applyFont="1" applyBorder="1" applyAlignment="1">
      <alignment horizontal="left" vertical="center" indent="1"/>
    </xf>
    <xf numFmtId="0" fontId="2" fillId="0" borderId="9" xfId="0" applyFont="1" applyBorder="1" applyAlignment="1">
      <alignment horizontal="left" vertical="center" indent="1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right" vertical="center" indent="1"/>
    </xf>
    <xf numFmtId="6" fontId="2" fillId="0" borderId="11" xfId="1" applyFont="1" applyBorder="1" applyAlignment="1">
      <alignment horizontal="right" vertical="center" indent="1"/>
    </xf>
    <xf numFmtId="6" fontId="2" fillId="0" borderId="11" xfId="1" applyFont="1" applyBorder="1" applyAlignment="1">
      <alignment horizontal="right" vertical="center" indent="1"/>
    </xf>
    <xf numFmtId="0" fontId="2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top" wrapText="1"/>
    </xf>
    <xf numFmtId="0" fontId="2" fillId="0" borderId="11" xfId="0" applyFont="1" applyBorder="1" applyAlignment="1">
      <alignment horizontal="left" vertical="top"/>
    </xf>
  </cellXfs>
  <cellStyles count="2">
    <cellStyle name="通貨" xfId="1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4D1B5-77FC-4101-9E77-59E20224FF73}">
  <dimension ref="A1:J34"/>
  <sheetViews>
    <sheetView tabSelected="1" view="pageLayout" zoomScaleNormal="100" workbookViewId="0">
      <selection activeCell="B10" sqref="B10"/>
    </sheetView>
  </sheetViews>
  <sheetFormatPr defaultColWidth="9" defaultRowHeight="18" x14ac:dyDescent="0.55000000000000004"/>
  <cols>
    <col min="1" max="1" width="1.33203125" style="1" customWidth="1"/>
    <col min="2" max="2" width="12.33203125" style="1" customWidth="1"/>
    <col min="3" max="3" width="14.08203125" style="1" customWidth="1"/>
    <col min="4" max="4" width="7.83203125" style="1" customWidth="1"/>
    <col min="5" max="5" width="6.33203125" style="1" customWidth="1"/>
    <col min="6" max="6" width="6" style="1" customWidth="1"/>
    <col min="7" max="7" width="3.83203125" style="1" customWidth="1"/>
    <col min="8" max="8" width="12.08203125" style="1" customWidth="1"/>
    <col min="9" max="9" width="5.83203125" style="1" customWidth="1"/>
    <col min="10" max="10" width="20" style="1" customWidth="1"/>
    <col min="11" max="16384" width="9" style="1"/>
  </cols>
  <sheetData>
    <row r="1" spans="1:10" x14ac:dyDescent="0.55000000000000004">
      <c r="H1" s="2" t="s">
        <v>0</v>
      </c>
      <c r="I1" s="2"/>
      <c r="J1" s="3"/>
    </row>
    <row r="2" spans="1:10" x14ac:dyDescent="0.55000000000000004">
      <c r="H2" s="2" t="s">
        <v>1</v>
      </c>
      <c r="I2" s="2"/>
      <c r="J2" s="4"/>
    </row>
    <row r="3" spans="1:10" ht="39" x14ac:dyDescent="0.55000000000000004">
      <c r="B3" s="5" t="s">
        <v>2</v>
      </c>
      <c r="C3" s="5"/>
      <c r="D3" s="5"/>
      <c r="E3" s="5"/>
      <c r="F3" s="5"/>
      <c r="G3" s="5"/>
      <c r="H3" s="5"/>
      <c r="I3" s="5"/>
      <c r="J3" s="5"/>
    </row>
    <row r="4" spans="1:10" ht="18.75" customHeight="1" x14ac:dyDescent="0.55000000000000004">
      <c r="B4" s="6"/>
      <c r="C4" s="6"/>
      <c r="D4" s="6"/>
      <c r="E4" s="6"/>
      <c r="F4" s="6"/>
      <c r="G4" s="6"/>
      <c r="H4" s="6"/>
      <c r="I4" s="6"/>
      <c r="J4" s="6"/>
    </row>
    <row r="5" spans="1:10" x14ac:dyDescent="0.55000000000000004">
      <c r="B5" s="7" t="s">
        <v>3</v>
      </c>
      <c r="C5" s="7"/>
      <c r="D5" s="1" t="s">
        <v>4</v>
      </c>
      <c r="H5" s="8" t="s">
        <v>5</v>
      </c>
      <c r="I5" s="8"/>
      <c r="J5" s="8"/>
    </row>
    <row r="6" spans="1:10" x14ac:dyDescent="0.55000000000000004">
      <c r="B6" s="8"/>
      <c r="C6" s="8"/>
      <c r="D6" s="8"/>
      <c r="E6" s="8"/>
      <c r="H6" s="8" t="s">
        <v>6</v>
      </c>
      <c r="I6" s="8"/>
      <c r="J6" s="8"/>
    </row>
    <row r="7" spans="1:10" x14ac:dyDescent="0.55000000000000004">
      <c r="B7" s="8"/>
      <c r="C7" s="8"/>
      <c r="D7" s="8"/>
      <c r="E7" s="8"/>
      <c r="H7" s="8" t="s">
        <v>7</v>
      </c>
      <c r="I7" s="8"/>
      <c r="J7" s="8"/>
    </row>
    <row r="8" spans="1:10" x14ac:dyDescent="0.55000000000000004">
      <c r="B8" s="8"/>
      <c r="C8" s="8"/>
      <c r="D8" s="8"/>
      <c r="E8" s="8"/>
      <c r="H8" s="1" t="s">
        <v>8</v>
      </c>
    </row>
    <row r="9" spans="1:10" x14ac:dyDescent="0.55000000000000004">
      <c r="B9" s="8" t="s">
        <v>39</v>
      </c>
      <c r="C9" s="8"/>
      <c r="D9" s="8"/>
      <c r="E9" s="8"/>
      <c r="H9" s="8" t="s">
        <v>9</v>
      </c>
      <c r="I9" s="8"/>
      <c r="J9" s="8"/>
    </row>
    <row r="10" spans="1:10" x14ac:dyDescent="0.55000000000000004">
      <c r="A10" s="1" t="s">
        <v>10</v>
      </c>
      <c r="B10" s="9" t="s">
        <v>11</v>
      </c>
      <c r="C10" s="10" t="s">
        <v>12</v>
      </c>
      <c r="D10" s="10"/>
      <c r="E10" s="10"/>
      <c r="H10" s="8" t="s">
        <v>13</v>
      </c>
      <c r="I10" s="8"/>
      <c r="J10" s="8"/>
    </row>
    <row r="11" spans="1:10" x14ac:dyDescent="0.55000000000000004">
      <c r="B11" s="9" t="s">
        <v>14</v>
      </c>
      <c r="C11" s="10" t="s">
        <v>15</v>
      </c>
      <c r="D11" s="10"/>
      <c r="E11" s="10"/>
      <c r="H11" s="8" t="s">
        <v>16</v>
      </c>
      <c r="I11" s="8"/>
      <c r="J11" s="8"/>
    </row>
    <row r="12" spans="1:10" x14ac:dyDescent="0.55000000000000004">
      <c r="C12" s="1" t="s">
        <v>17</v>
      </c>
    </row>
    <row r="13" spans="1:10" ht="6.75" customHeight="1" x14ac:dyDescent="0.55000000000000004">
      <c r="B13" s="11"/>
      <c r="H13" s="8"/>
      <c r="I13" s="8"/>
      <c r="J13" s="8"/>
    </row>
    <row r="14" spans="1:10" ht="18.649999999999999" customHeight="1" x14ac:dyDescent="0.55000000000000004">
      <c r="B14" s="12" t="s">
        <v>18</v>
      </c>
      <c r="C14" s="13">
        <f>J29</f>
        <v>0</v>
      </c>
      <c r="D14" s="14"/>
      <c r="E14" s="15" t="s">
        <v>19</v>
      </c>
      <c r="H14" s="8"/>
      <c r="I14" s="8"/>
      <c r="J14" s="8"/>
    </row>
    <row r="15" spans="1:10" x14ac:dyDescent="0.55000000000000004">
      <c r="B15" s="16"/>
      <c r="C15" s="17"/>
      <c r="D15" s="18"/>
      <c r="E15" s="19"/>
      <c r="H15" s="8"/>
      <c r="I15" s="8"/>
      <c r="J15" s="8"/>
    </row>
    <row r="16" spans="1:10" ht="15.75" customHeight="1" x14ac:dyDescent="0.45">
      <c r="F16" s="20"/>
      <c r="G16" s="20"/>
      <c r="H16" s="20"/>
      <c r="I16" s="21"/>
      <c r="J16" s="21"/>
    </row>
    <row r="17" spans="2:10" ht="25.5" customHeight="1" x14ac:dyDescent="0.55000000000000004">
      <c r="B17" s="22" t="s">
        <v>20</v>
      </c>
      <c r="C17" s="23"/>
      <c r="D17" s="24"/>
      <c r="E17" s="25" t="s">
        <v>21</v>
      </c>
      <c r="F17" s="22" t="s">
        <v>22</v>
      </c>
      <c r="G17" s="26"/>
      <c r="H17" s="27" t="s">
        <v>23</v>
      </c>
      <c r="I17" s="28" t="s">
        <v>24</v>
      </c>
      <c r="J17" s="28" t="s">
        <v>25</v>
      </c>
    </row>
    <row r="18" spans="2:10" ht="25.5" customHeight="1" x14ac:dyDescent="0.55000000000000004">
      <c r="B18" s="29" t="s">
        <v>26</v>
      </c>
      <c r="C18" s="30"/>
      <c r="D18" s="31"/>
      <c r="E18" s="32" t="s">
        <v>27</v>
      </c>
      <c r="F18" s="33"/>
      <c r="G18" s="32" t="s">
        <v>28</v>
      </c>
      <c r="H18" s="34">
        <v>3704</v>
      </c>
      <c r="I18" s="35">
        <v>0.08</v>
      </c>
      <c r="J18" s="36">
        <f>F18*H18</f>
        <v>0</v>
      </c>
    </row>
    <row r="19" spans="2:10" ht="25.5" customHeight="1" x14ac:dyDescent="0.55000000000000004">
      <c r="B19" s="37"/>
      <c r="C19" s="38"/>
      <c r="D19" s="39"/>
      <c r="E19" s="32"/>
      <c r="F19" s="33"/>
      <c r="G19" s="32"/>
      <c r="H19" s="34"/>
      <c r="I19" s="35"/>
      <c r="J19" s="36" t="str">
        <f t="shared" ref="J19:J26" si="0">IF(ISBLANK(H19), "", H19*F19)</f>
        <v/>
      </c>
    </row>
    <row r="20" spans="2:10" ht="25.5" customHeight="1" x14ac:dyDescent="0.55000000000000004">
      <c r="B20" s="37"/>
      <c r="C20" s="38"/>
      <c r="D20" s="39"/>
      <c r="E20" s="32"/>
      <c r="F20" s="33"/>
      <c r="G20" s="32"/>
      <c r="H20" s="34"/>
      <c r="I20" s="35"/>
      <c r="J20" s="36" t="str">
        <f t="shared" si="0"/>
        <v/>
      </c>
    </row>
    <row r="21" spans="2:10" ht="25.5" customHeight="1" x14ac:dyDescent="0.55000000000000004">
      <c r="B21" s="37"/>
      <c r="C21" s="38"/>
      <c r="D21" s="39"/>
      <c r="E21" s="32"/>
      <c r="F21" s="33"/>
      <c r="G21" s="32"/>
      <c r="H21" s="34"/>
      <c r="I21" s="35"/>
      <c r="J21" s="36" t="str">
        <f t="shared" si="0"/>
        <v/>
      </c>
    </row>
    <row r="22" spans="2:10" ht="25.5" customHeight="1" x14ac:dyDescent="0.55000000000000004">
      <c r="B22" s="37"/>
      <c r="C22" s="38"/>
      <c r="D22" s="39"/>
      <c r="E22" s="32"/>
      <c r="F22" s="33"/>
      <c r="G22" s="32"/>
      <c r="H22" s="34"/>
      <c r="I22" s="35"/>
      <c r="J22" s="36" t="str">
        <f t="shared" si="0"/>
        <v/>
      </c>
    </row>
    <row r="23" spans="2:10" ht="25.5" customHeight="1" x14ac:dyDescent="0.55000000000000004">
      <c r="B23" s="37"/>
      <c r="C23" s="38"/>
      <c r="D23" s="39"/>
      <c r="E23" s="32"/>
      <c r="F23" s="33"/>
      <c r="G23" s="32"/>
      <c r="H23" s="34"/>
      <c r="I23" s="35"/>
      <c r="J23" s="36" t="str">
        <f t="shared" si="0"/>
        <v/>
      </c>
    </row>
    <row r="24" spans="2:10" ht="25.5" customHeight="1" x14ac:dyDescent="0.55000000000000004">
      <c r="B24" s="37"/>
      <c r="C24" s="38"/>
      <c r="D24" s="39"/>
      <c r="E24" s="32"/>
      <c r="F24" s="33"/>
      <c r="G24" s="32"/>
      <c r="H24" s="34"/>
      <c r="I24" s="35"/>
      <c r="J24" s="36" t="str">
        <f t="shared" si="0"/>
        <v/>
      </c>
    </row>
    <row r="25" spans="2:10" ht="25.5" customHeight="1" x14ac:dyDescent="0.55000000000000004">
      <c r="B25" s="37"/>
      <c r="C25" s="38"/>
      <c r="D25" s="39"/>
      <c r="E25" s="32"/>
      <c r="F25" s="33"/>
      <c r="G25" s="32"/>
      <c r="H25" s="34"/>
      <c r="I25" s="35"/>
      <c r="J25" s="36" t="str">
        <f t="shared" si="0"/>
        <v/>
      </c>
    </row>
    <row r="26" spans="2:10" ht="25.5" customHeight="1" x14ac:dyDescent="0.55000000000000004">
      <c r="B26" s="37"/>
      <c r="C26" s="38"/>
      <c r="D26" s="39"/>
      <c r="E26" s="32"/>
      <c r="F26" s="33"/>
      <c r="G26" s="32"/>
      <c r="H26" s="34"/>
      <c r="I26" s="35"/>
      <c r="J26" s="36" t="str">
        <f t="shared" si="0"/>
        <v/>
      </c>
    </row>
    <row r="27" spans="2:10" ht="25.5" customHeight="1" x14ac:dyDescent="0.55000000000000004">
      <c r="B27" s="40" t="s">
        <v>29</v>
      </c>
      <c r="C27" s="40" t="s">
        <v>30</v>
      </c>
      <c r="D27" s="41" t="s">
        <v>31</v>
      </c>
      <c r="E27" s="41"/>
      <c r="H27" s="42" t="s">
        <v>32</v>
      </c>
      <c r="I27" s="42"/>
      <c r="J27" s="36">
        <f>SUM(J18:J26)</f>
        <v>0</v>
      </c>
    </row>
    <row r="28" spans="2:10" ht="25.5" customHeight="1" x14ac:dyDescent="0.55000000000000004">
      <c r="B28" s="43" t="s">
        <v>33</v>
      </c>
      <c r="C28" s="44">
        <f>SUMIF(I18:I26, 10%, J18:J26)</f>
        <v>0</v>
      </c>
      <c r="D28" s="45">
        <f>ROUND(C28*10%,1)</f>
        <v>0</v>
      </c>
      <c r="E28" s="45"/>
      <c r="H28" s="42" t="s">
        <v>34</v>
      </c>
      <c r="I28" s="42"/>
      <c r="J28" s="36">
        <f>J29-J27</f>
        <v>0</v>
      </c>
    </row>
    <row r="29" spans="2:10" ht="25.5" customHeight="1" x14ac:dyDescent="0.55000000000000004">
      <c r="B29" s="43" t="s">
        <v>35</v>
      </c>
      <c r="C29" s="44">
        <f>SUMIF(I18:I26, 8%, J18:J26)</f>
        <v>0</v>
      </c>
      <c r="D29" s="45">
        <f>J28</f>
        <v>0</v>
      </c>
      <c r="E29" s="45"/>
      <c r="H29" s="42" t="s">
        <v>36</v>
      </c>
      <c r="I29" s="42"/>
      <c r="J29" s="36">
        <f>F18*4000</f>
        <v>0</v>
      </c>
    </row>
    <row r="30" spans="2:10" ht="25.5" customHeight="1" x14ac:dyDescent="0.55000000000000004"/>
    <row r="31" spans="2:10" ht="25.5" customHeight="1" x14ac:dyDescent="0.55000000000000004">
      <c r="B31" s="46" t="s">
        <v>37</v>
      </c>
      <c r="C31" s="46"/>
      <c r="D31" s="46"/>
      <c r="E31" s="46"/>
      <c r="F31" s="46"/>
      <c r="G31" s="46"/>
      <c r="H31" s="46"/>
      <c r="I31" s="46"/>
      <c r="J31" s="46"/>
    </row>
    <row r="32" spans="2:10" ht="95.25" customHeight="1" x14ac:dyDescent="0.55000000000000004">
      <c r="B32" s="47" t="s">
        <v>38</v>
      </c>
      <c r="C32" s="48"/>
      <c r="D32" s="48"/>
      <c r="E32" s="48"/>
      <c r="F32" s="48"/>
      <c r="G32" s="48"/>
      <c r="H32" s="48"/>
      <c r="I32" s="48"/>
      <c r="J32" s="48"/>
    </row>
    <row r="33" ht="18.649999999999999" customHeight="1" x14ac:dyDescent="0.55000000000000004"/>
    <row r="34" ht="18.649999999999999" customHeight="1" x14ac:dyDescent="0.55000000000000004"/>
  </sheetData>
  <mergeCells count="42">
    <mergeCell ref="B31:J31"/>
    <mergeCell ref="B32:J32"/>
    <mergeCell ref="D27:E27"/>
    <mergeCell ref="H27:I27"/>
    <mergeCell ref="D28:E28"/>
    <mergeCell ref="H28:I28"/>
    <mergeCell ref="D29:E29"/>
    <mergeCell ref="H29:I29"/>
    <mergeCell ref="B21:D21"/>
    <mergeCell ref="B22:D22"/>
    <mergeCell ref="B23:D23"/>
    <mergeCell ref="B24:D24"/>
    <mergeCell ref="B25:D25"/>
    <mergeCell ref="B26:D26"/>
    <mergeCell ref="I16:J16"/>
    <mergeCell ref="B17:D17"/>
    <mergeCell ref="F17:G17"/>
    <mergeCell ref="B18:D18"/>
    <mergeCell ref="B19:D19"/>
    <mergeCell ref="B20:D20"/>
    <mergeCell ref="C11:E11"/>
    <mergeCell ref="H11:J11"/>
    <mergeCell ref="H13:J13"/>
    <mergeCell ref="B14:B15"/>
    <mergeCell ref="C14:D15"/>
    <mergeCell ref="E14:E15"/>
    <mergeCell ref="H14:J14"/>
    <mergeCell ref="H15:J15"/>
    <mergeCell ref="B7:E7"/>
    <mergeCell ref="H7:J7"/>
    <mergeCell ref="B8:E8"/>
    <mergeCell ref="B9:E9"/>
    <mergeCell ref="H9:J9"/>
    <mergeCell ref="C10:E10"/>
    <mergeCell ref="H10:J10"/>
    <mergeCell ref="H1:I1"/>
    <mergeCell ref="H2:I2"/>
    <mergeCell ref="B3:J3"/>
    <mergeCell ref="B5:C5"/>
    <mergeCell ref="H5:J5"/>
    <mergeCell ref="B6:E6"/>
    <mergeCell ref="H6:J6"/>
  </mergeCells>
  <phoneticPr fontId="3"/>
  <pageMargins left="0.23622047244094491" right="0.23622047244094491" top="0.39370078740157483" bottom="0.23622047244094491" header="0.31496062992125984" footer="0.31496062992125984"/>
  <pageSetup paperSize="9" orientation="portrait" horizontalDpi="4294967293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請求書テンプレート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喜臣 阿部</dc:creator>
  <cp:lastModifiedBy>喜臣 阿部</cp:lastModifiedBy>
  <dcterms:created xsi:type="dcterms:W3CDTF">2026-06-30T18:13:49Z</dcterms:created>
  <dcterms:modified xsi:type="dcterms:W3CDTF">2026-06-30T18:13:53Z</dcterms:modified>
</cp:coreProperties>
</file>