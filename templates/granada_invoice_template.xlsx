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20" yWindow="3420" windowWidth="28800" windowHeight="15910" tabRatio="600" firstSheet="0" activeTab="0" autoFilterDateGrouping="1"/>
  </bookViews>
  <sheets>
    <sheet name="請求書テンプレート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¥&quot;#,##0;[Red]&quot;¥&quot;\-#,##0"/>
  </numFmts>
  <fonts count="8">
    <font>
      <name val="游ゴシック"/>
      <charset val="128"/>
      <family val="2"/>
      <color theme="1"/>
      <sz val="11"/>
    </font>
    <font>
      <name val="游ゴシック"/>
      <charset val="128"/>
      <family val="2"/>
      <color theme="1"/>
      <sz val="11"/>
    </font>
    <font>
      <name val="游ゴシック"/>
      <charset val="128"/>
      <family val="3"/>
      <color theme="1"/>
      <sz val="11"/>
    </font>
    <font>
      <name val="游ゴシック"/>
      <charset val="128"/>
      <family val="2"/>
      <sz val="6"/>
    </font>
    <font>
      <name val="游ゴシック"/>
      <charset val="128"/>
      <family val="3"/>
      <color theme="1"/>
      <sz val="24"/>
    </font>
    <font>
      <name val="游ゴシック"/>
      <charset val="128"/>
      <family val="3"/>
      <color theme="1"/>
      <sz val="10"/>
    </font>
    <font>
      <name val="游ゴシック"/>
      <charset val="128"/>
      <family val="3"/>
      <color theme="1"/>
      <sz val="14"/>
    </font>
    <font>
      <name val="游ゴシック"/>
      <charset val="128"/>
      <family val="3"/>
      <color theme="1"/>
      <sz val="9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</borders>
  <cellStyleXfs count="2">
    <xf numFmtId="0" fontId="1" fillId="0" borderId="0" applyAlignment="1">
      <alignment vertical="center"/>
    </xf>
    <xf numFmtId="6" fontId="1" fillId="0" borderId="0" applyAlignment="1">
      <alignment vertical="center"/>
    </xf>
  </cellStyleXfs>
  <cellXfs count="6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31" fontId="2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20" fontId="2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164" fontId="6" fillId="0" borderId="1" applyAlignment="1" pivotButton="0" quotePrefix="0" xfId="1">
      <alignment horizontal="right" vertical="center" indent="1"/>
    </xf>
    <xf numFmtId="164" fontId="6" fillId="0" borderId="2" applyAlignment="1" pivotButton="0" quotePrefix="0" xfId="1">
      <alignment horizontal="right" vertical="center" indent="1"/>
    </xf>
    <xf numFmtId="0" fontId="2" fillId="0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164" fontId="6" fillId="0" borderId="4" applyAlignment="1" pivotButton="0" quotePrefix="0" xfId="1">
      <alignment horizontal="right" vertical="center" indent="1"/>
    </xf>
    <xf numFmtId="164" fontId="6" fillId="0" borderId="5" applyAlignment="1" pivotButton="0" quotePrefix="0" xfId="1">
      <alignment horizontal="right" vertical="center" indent="1"/>
    </xf>
    <xf numFmtId="0" fontId="2" fillId="0" borderId="6" applyAlignment="1" pivotButton="0" quotePrefix="0" xfId="0">
      <alignment horizontal="center" vertical="center"/>
    </xf>
    <xf numFmtId="0" fontId="7" fillId="0" borderId="5" pivotButton="0" quotePrefix="0" xfId="0"/>
    <xf numFmtId="0" fontId="7" fillId="0" borderId="5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indent="1"/>
    </xf>
    <xf numFmtId="0" fontId="7" fillId="0" borderId="8" applyAlignment="1" pivotButton="0" quotePrefix="0" xfId="0">
      <alignment horizontal="left" vertical="center" indent="1"/>
    </xf>
    <xf numFmtId="0" fontId="7" fillId="0" borderId="9" applyAlignment="1" pivotButton="0" quotePrefix="0" xfId="0">
      <alignment horizontal="left" vertical="center" indent="1"/>
    </xf>
    <xf numFmtId="0" fontId="2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vertical="center"/>
    </xf>
    <xf numFmtId="164" fontId="2" fillId="0" borderId="11" applyAlignment="1" pivotButton="0" quotePrefix="0" xfId="1">
      <alignment horizontal="right" vertical="center"/>
    </xf>
    <xf numFmtId="9" fontId="2" fillId="0" borderId="11" applyAlignment="1" pivotButton="0" quotePrefix="0" xfId="0">
      <alignment vertical="center"/>
    </xf>
    <xf numFmtId="164" fontId="2" fillId="0" borderId="11" applyAlignment="1" pivotButton="0" quotePrefix="0" xfId="1">
      <alignment vertical="center"/>
    </xf>
    <xf numFmtId="0" fontId="2" fillId="0" borderId="7" applyAlignment="1" pivotButton="0" quotePrefix="0" xfId="0">
      <alignment horizontal="left" vertical="center" indent="1"/>
    </xf>
    <xf numFmtId="0" fontId="2" fillId="0" borderId="8" applyAlignment="1" pivotButton="0" quotePrefix="0" xfId="0">
      <alignment horizontal="left" vertical="center" indent="1"/>
    </xf>
    <xf numFmtId="0" fontId="2" fillId="0" borderId="9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right" vertical="center" indent="1"/>
    </xf>
    <xf numFmtId="164" fontId="2" fillId="0" borderId="11" applyAlignment="1" pivotButton="0" quotePrefix="0" xfId="1">
      <alignment horizontal="right" vertical="center" indent="1"/>
    </xf>
    <xf numFmtId="164" fontId="2" fillId="0" borderId="11" applyAlignment="1" pivotButton="0" quotePrefix="0" xfId="1">
      <alignment horizontal="right" vertical="center" indent="1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/>
    </xf>
    <xf numFmtId="0" fontId="0" fillId="0" borderId="0" pivotButton="0" quotePrefix="0" xfId="0"/>
    <xf numFmtId="0" fontId="6" fillId="2" borderId="7" applyAlignment="1" pivotButton="0" quotePrefix="0" xfId="0">
      <alignment horizontal="center" vertical="center"/>
    </xf>
    <xf numFmtId="164" fontId="6" fillId="0" borderId="7" applyAlignment="1" pivotButton="0" quotePrefix="0" xfId="1">
      <alignment horizontal="right" vertical="center" indent="1"/>
    </xf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2" borderId="1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7" fillId="0" borderId="12" applyAlignment="1" pivotButton="0" quotePrefix="0" xfId="0">
      <alignment horizontal="left" vertical="center" indent="1"/>
    </xf>
    <xf numFmtId="164" fontId="2" fillId="0" borderId="11" applyAlignment="1" pivotButton="0" quotePrefix="0" xfId="1">
      <alignment horizontal="right" vertical="center"/>
    </xf>
    <xf numFmtId="164" fontId="2" fillId="0" borderId="11" applyAlignment="1" pivotButton="0" quotePrefix="0" xfId="1">
      <alignment vertical="center"/>
    </xf>
    <xf numFmtId="0" fontId="2" fillId="0" borderId="12" applyAlignment="1" pivotButton="0" quotePrefix="0" xfId="0">
      <alignment horizontal="left" vertical="center" indent="1"/>
    </xf>
    <xf numFmtId="164" fontId="2" fillId="0" borderId="11" applyAlignment="1" pivotButton="0" quotePrefix="0" xfId="1">
      <alignment horizontal="right" vertical="center" indent="1"/>
    </xf>
  </cellXfs>
  <cellStyles count="2">
    <cellStyle name="標準" xfId="0" builtinId="0"/>
    <cellStyle name="通貨" xfId="1" builtin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tabSelected="1" view="pageLayout" zoomScaleNormal="100" workbookViewId="0">
      <selection activeCell="B10" sqref="B10"/>
    </sheetView>
  </sheetViews>
  <sheetFormatPr baseColWidth="8" defaultColWidth="9" defaultRowHeight="18"/>
  <cols>
    <col width="1.33203125" customWidth="1" style="8" min="1" max="1"/>
    <col width="12.33203125" customWidth="1" style="8" min="2" max="2"/>
    <col width="14.08203125" customWidth="1" style="8" min="3" max="3"/>
    <col width="7.83203125" customWidth="1" style="8" min="4" max="4"/>
    <col width="6.33203125" customWidth="1" style="8" min="5" max="5"/>
    <col width="6" customWidth="1" style="8" min="6" max="6"/>
    <col width="3.83203125" customWidth="1" style="8" min="7" max="7"/>
    <col width="12.08203125" customWidth="1" style="8" min="8" max="8"/>
    <col width="5.83203125" customWidth="1" style="8" min="9" max="9"/>
    <col width="20" customWidth="1" style="8" min="10" max="10"/>
    <col width="9" customWidth="1" style="8" min="11" max="16384"/>
  </cols>
  <sheetData>
    <row r="1">
      <c r="H1" s="9" t="inlineStr">
        <is>
          <t>発行日：</t>
        </is>
      </c>
      <c r="J1" s="3" t="n"/>
    </row>
    <row r="2">
      <c r="H2" s="9" t="inlineStr">
        <is>
          <t>書類番号：</t>
        </is>
      </c>
      <c r="J2" s="4" t="n"/>
    </row>
    <row r="3" ht="39" customHeight="1" s="49">
      <c r="B3" s="6" t="inlineStr">
        <is>
          <t>御 請 求 書</t>
        </is>
      </c>
    </row>
    <row r="4" ht="18.75" customHeight="1" s="49"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B5" s="7" t="inlineStr">
        <is>
          <t>株式会社グラナダ 鉄板焼きかいか</t>
        </is>
      </c>
      <c r="D5" s="8" t="inlineStr">
        <is>
          <t>御中</t>
        </is>
      </c>
      <c r="H5" s="8" t="inlineStr">
        <is>
          <t>阿部農園</t>
        </is>
      </c>
    </row>
    <row r="6">
      <c r="B6" s="8" t="n"/>
      <c r="H6" s="8" t="inlineStr">
        <is>
          <t>〒963-0211</t>
        </is>
      </c>
    </row>
    <row r="7">
      <c r="B7" s="8" t="n"/>
      <c r="H7" s="8" t="inlineStr">
        <is>
          <t>福島県郡山市片平町字西大町一</t>
        </is>
      </c>
    </row>
    <row r="8">
      <c r="B8" s="8" t="n"/>
      <c r="H8" s="8" t="inlineStr">
        <is>
          <t>登録番号：T3810553743686</t>
        </is>
      </c>
    </row>
    <row r="9">
      <c r="B9" s="8" t="inlineStr">
        <is>
          <t>下記の通り、御請求申し上げます。</t>
        </is>
      </c>
      <c r="H9" s="8" t="inlineStr">
        <is>
          <t>TEL：080-6030-3705</t>
        </is>
      </c>
    </row>
    <row r="10">
      <c r="A10" s="8" t="inlineStr">
        <is>
          <t>　</t>
        </is>
      </c>
      <c r="B10" s="9" t="inlineStr">
        <is>
          <t>件名：</t>
        </is>
      </c>
      <c r="C10" s="10" t="inlineStr">
        <is>
          <t>お米代</t>
        </is>
      </c>
      <c r="H10" s="8" t="n"/>
    </row>
    <row r="11">
      <c r="B11" s="9" t="inlineStr">
        <is>
          <t>振込先：</t>
        </is>
      </c>
      <c r="C11" s="10" t="inlineStr">
        <is>
          <t>七十七銀行郡山支店 普通 5025573</t>
        </is>
      </c>
      <c r="H11" s="8" t="inlineStr">
        <is>
          <t>担当：阿部　喜臣</t>
        </is>
      </c>
    </row>
    <row r="12">
      <c r="C12" s="8" t="inlineStr">
        <is>
          <t>阿部 喜臣（アベ ヨシタカ）</t>
        </is>
      </c>
    </row>
    <row r="13" ht="6.75" customHeight="1" s="49">
      <c r="B13" s="11" t="n"/>
      <c r="H13" s="8" t="n"/>
    </row>
    <row r="14" ht="18.65" customHeight="1" s="49">
      <c r="B14" s="50" t="inlineStr">
        <is>
          <t>合計金額</t>
        </is>
      </c>
      <c r="C14" s="51">
        <f>J29</f>
        <v/>
      </c>
      <c r="D14" s="52" t="n"/>
      <c r="E14" s="32" t="inlineStr">
        <is>
          <t>(税込)</t>
        </is>
      </c>
      <c r="H14" s="8" t="n"/>
    </row>
    <row r="15">
      <c r="B15" s="53" t="n"/>
      <c r="C15" s="53" t="n"/>
      <c r="D15" s="54" t="n"/>
      <c r="E15" s="55" t="n"/>
      <c r="H15" s="8" t="n"/>
    </row>
    <row r="16" ht="15.75" customHeight="1" s="49">
      <c r="F16" s="20" t="n"/>
      <c r="G16" s="20" t="n"/>
      <c r="H16" s="20" t="n"/>
      <c r="I16" s="21" t="n"/>
      <c r="J16" s="54" t="n"/>
    </row>
    <row r="17" ht="25.5" customHeight="1" s="49">
      <c r="B17" s="56" t="inlineStr">
        <is>
          <t>内　容</t>
        </is>
      </c>
      <c r="C17" s="57" t="n"/>
      <c r="D17" s="58" t="n"/>
      <c r="E17" s="26" t="inlineStr">
        <is>
          <t>軽減</t>
        </is>
      </c>
      <c r="F17" s="42" t="inlineStr">
        <is>
          <t>数量(単位)</t>
        </is>
      </c>
      <c r="G17" s="59" t="n"/>
      <c r="H17" s="27" t="inlineStr">
        <is>
          <t>単価(税抜)</t>
        </is>
      </c>
      <c r="I17" s="42" t="inlineStr">
        <is>
          <t>税率</t>
        </is>
      </c>
      <c r="J17" s="42" t="inlineStr">
        <is>
          <t>金額(税抜)</t>
        </is>
      </c>
    </row>
    <row r="18" ht="25.5" customHeight="1" s="49">
      <c r="B18" s="60" t="inlineStr">
        <is>
          <t>令和7年度　福島県産 コシヒカリ (精米) 5㎏</t>
        </is>
      </c>
      <c r="C18" s="57" t="n"/>
      <c r="D18" s="58" t="n"/>
      <c r="E18" s="32" t="inlineStr">
        <is>
          <t>※</t>
        </is>
      </c>
      <c r="F18" s="33" t="n"/>
      <c r="G18" s="32" t="inlineStr">
        <is>
          <t>個</t>
        </is>
      </c>
      <c r="H18" s="61" t="n">
        <v>3704</v>
      </c>
      <c r="I18" s="35" t="n">
        <v>0.08</v>
      </c>
      <c r="J18" s="62">
        <f>F18*H18</f>
        <v/>
      </c>
    </row>
    <row r="19" ht="25.5" customHeight="1" s="49">
      <c r="B19" s="63" t="n"/>
      <c r="C19" s="57" t="n"/>
      <c r="D19" s="58" t="n"/>
      <c r="E19" s="32" t="n"/>
      <c r="F19" s="33" t="n"/>
      <c r="G19" s="32" t="n"/>
      <c r="H19" s="61" t="n"/>
      <c r="I19" s="35" t="n"/>
      <c r="J19" s="62">
        <f>IF(ISBLANK(H19), "", H19*F19)</f>
        <v/>
      </c>
    </row>
    <row r="20" ht="25.5" customHeight="1" s="49">
      <c r="B20" s="63" t="n"/>
      <c r="C20" s="57" t="n"/>
      <c r="D20" s="58" t="n"/>
      <c r="E20" s="32" t="n"/>
      <c r="F20" s="33" t="n"/>
      <c r="G20" s="32" t="n"/>
      <c r="H20" s="61" t="n"/>
      <c r="I20" s="35" t="n"/>
      <c r="J20" s="62">
        <f>IF(ISBLANK(H20), "", H20*F20)</f>
        <v/>
      </c>
    </row>
    <row r="21" ht="25.5" customHeight="1" s="49">
      <c r="B21" s="63" t="n"/>
      <c r="C21" s="57" t="n"/>
      <c r="D21" s="58" t="n"/>
      <c r="E21" s="32" t="n"/>
      <c r="F21" s="33" t="n"/>
      <c r="G21" s="32" t="n"/>
      <c r="H21" s="61" t="n"/>
      <c r="I21" s="35" t="n"/>
      <c r="J21" s="62">
        <f>IF(ISBLANK(H21), "", H21*F21)</f>
        <v/>
      </c>
    </row>
    <row r="22" ht="25.5" customHeight="1" s="49">
      <c r="B22" s="63" t="n"/>
      <c r="C22" s="57" t="n"/>
      <c r="D22" s="58" t="n"/>
      <c r="E22" s="32" t="n"/>
      <c r="F22" s="33" t="n"/>
      <c r="G22" s="32" t="n"/>
      <c r="H22" s="61" t="n"/>
      <c r="I22" s="35" t="n"/>
      <c r="J22" s="62">
        <f>IF(ISBLANK(H22), "", H22*F22)</f>
        <v/>
      </c>
    </row>
    <row r="23" ht="25.5" customHeight="1" s="49">
      <c r="B23" s="63" t="n"/>
      <c r="C23" s="57" t="n"/>
      <c r="D23" s="58" t="n"/>
      <c r="E23" s="32" t="n"/>
      <c r="F23" s="33" t="n"/>
      <c r="G23" s="32" t="n"/>
      <c r="H23" s="61" t="n"/>
      <c r="I23" s="35" t="n"/>
      <c r="J23" s="62">
        <f>IF(ISBLANK(H23), "", H23*F23)</f>
        <v/>
      </c>
    </row>
    <row r="24" ht="25.5" customHeight="1" s="49">
      <c r="B24" s="63" t="n"/>
      <c r="C24" s="57" t="n"/>
      <c r="D24" s="58" t="n"/>
      <c r="E24" s="32" t="n"/>
      <c r="F24" s="33" t="n"/>
      <c r="G24" s="32" t="n"/>
      <c r="H24" s="61" t="n"/>
      <c r="I24" s="35" t="n"/>
      <c r="J24" s="62">
        <f>IF(ISBLANK(H24), "", H24*F24)</f>
        <v/>
      </c>
    </row>
    <row r="25" ht="25.5" customHeight="1" s="49">
      <c r="B25" s="63" t="n"/>
      <c r="C25" s="57" t="n"/>
      <c r="D25" s="58" t="n"/>
      <c r="E25" s="32" t="n"/>
      <c r="F25" s="33" t="n"/>
      <c r="G25" s="32" t="n"/>
      <c r="H25" s="61" t="n"/>
      <c r="I25" s="35" t="n"/>
      <c r="J25" s="62">
        <f>IF(ISBLANK(H25), "", H25*F25)</f>
        <v/>
      </c>
    </row>
    <row r="26" ht="25.5" customHeight="1" s="49">
      <c r="B26" s="63" t="n"/>
      <c r="C26" s="57" t="n"/>
      <c r="D26" s="58" t="n"/>
      <c r="E26" s="32" t="n"/>
      <c r="F26" s="33" t="n"/>
      <c r="G26" s="32" t="n"/>
      <c r="H26" s="61" t="n"/>
      <c r="I26" s="35" t="n"/>
      <c r="J26" s="62">
        <f>IF(ISBLANK(H26), "", H26*F26)</f>
        <v/>
      </c>
    </row>
    <row r="27" ht="25.5" customHeight="1" s="49">
      <c r="B27" s="40" t="inlineStr">
        <is>
          <t>税別内訳</t>
        </is>
      </c>
      <c r="C27" s="40" t="inlineStr">
        <is>
          <t>小計(税抜金額)</t>
        </is>
      </c>
      <c r="D27" s="41" t="inlineStr">
        <is>
          <t>小計(税のみ)</t>
        </is>
      </c>
      <c r="E27" s="52" t="n"/>
      <c r="H27" s="42" t="inlineStr">
        <is>
          <t>小計</t>
        </is>
      </c>
      <c r="I27" s="59" t="n"/>
      <c r="J27" s="62">
        <f>SUM(J18:J26)</f>
        <v/>
      </c>
    </row>
    <row r="28" ht="25.5" customHeight="1" s="49">
      <c r="B28" s="43" t="inlineStr">
        <is>
          <t>10%対象分</t>
        </is>
      </c>
      <c r="C28" s="64">
        <f>SUMIF(I18:I26, 10%, J18:J26)</f>
        <v/>
      </c>
      <c r="D28" s="64">
        <f>ROUND(C28*10%,1)</f>
        <v/>
      </c>
      <c r="E28" s="59" t="n"/>
      <c r="H28" s="42" t="inlineStr">
        <is>
          <t>消費税</t>
        </is>
      </c>
      <c r="I28" s="59" t="n"/>
      <c r="J28" s="62">
        <f>J29-J27</f>
        <v/>
      </c>
    </row>
    <row r="29" ht="25.5" customHeight="1" s="49">
      <c r="B29" s="43" t="inlineStr">
        <is>
          <t>8%対象分</t>
        </is>
      </c>
      <c r="C29" s="64">
        <f>SUMIF(I18:I26, 8%, J18:J26)</f>
        <v/>
      </c>
      <c r="D29" s="64">
        <f>J28</f>
        <v/>
      </c>
      <c r="E29" s="59" t="n"/>
      <c r="H29" s="42" t="inlineStr">
        <is>
          <t>合計</t>
        </is>
      </c>
      <c r="I29" s="59" t="n"/>
      <c r="J29" s="62">
        <f>F18*4000</f>
        <v/>
      </c>
    </row>
    <row r="30" ht="25.5" customHeight="1" s="49"/>
    <row r="31" ht="25.5" customHeight="1" s="49">
      <c r="B31" s="46" t="inlineStr">
        <is>
          <t>備　考</t>
        </is>
      </c>
      <c r="C31" s="57" t="n"/>
      <c r="D31" s="57" t="n"/>
      <c r="E31" s="57" t="n"/>
      <c r="F31" s="57" t="n"/>
      <c r="G31" s="57" t="n"/>
      <c r="H31" s="57" t="n"/>
      <c r="I31" s="57" t="n"/>
      <c r="J31" s="59" t="n"/>
    </row>
    <row r="32" ht="95.25" customHeight="1" s="49">
      <c r="B32" s="47" t="inlineStr">
        <is>
          <t>「※」は軽減税率対象品目です
5kg税込4000円でのお約束のため、税額は合計から割り戻しています。</t>
        </is>
      </c>
      <c r="C32" s="57" t="n"/>
      <c r="D32" s="57" t="n"/>
      <c r="E32" s="57" t="n"/>
      <c r="F32" s="57" t="n"/>
      <c r="G32" s="57" t="n"/>
      <c r="H32" s="57" t="n"/>
      <c r="I32" s="57" t="n"/>
      <c r="J32" s="59" t="n"/>
    </row>
    <row r="33" ht="18.65" customHeight="1" s="49"/>
    <row r="34" ht="18.65" customHeight="1" s="49"/>
  </sheetData>
  <mergeCells count="42">
    <mergeCell ref="B9:E9"/>
    <mergeCell ref="B23:D23"/>
    <mergeCell ref="H29:I29"/>
    <mergeCell ref="B6:E6"/>
    <mergeCell ref="H1:I1"/>
    <mergeCell ref="B17:D17"/>
    <mergeCell ref="H11:J11"/>
    <mergeCell ref="H7:J7"/>
    <mergeCell ref="B14:B15"/>
    <mergeCell ref="B19:D19"/>
    <mergeCell ref="C11:E11"/>
    <mergeCell ref="I16:J16"/>
    <mergeCell ref="H13:J13"/>
    <mergeCell ref="D27:E27"/>
    <mergeCell ref="B7:E7"/>
    <mergeCell ref="B24:D24"/>
    <mergeCell ref="F17:G17"/>
    <mergeCell ref="B20:D20"/>
    <mergeCell ref="E14:E15"/>
    <mergeCell ref="H15:J15"/>
    <mergeCell ref="H2:I2"/>
    <mergeCell ref="H14:J14"/>
    <mergeCell ref="H5:J5"/>
    <mergeCell ref="B32:J32"/>
    <mergeCell ref="B26:D26"/>
    <mergeCell ref="D28:E28"/>
    <mergeCell ref="C14:D15"/>
    <mergeCell ref="H28:I28"/>
    <mergeCell ref="B25:D25"/>
    <mergeCell ref="H27:I27"/>
    <mergeCell ref="C10:E10"/>
    <mergeCell ref="H10:J10"/>
    <mergeCell ref="B8:E8"/>
    <mergeCell ref="B3:J3"/>
    <mergeCell ref="B22:D22"/>
    <mergeCell ref="D29:E29"/>
    <mergeCell ref="B5:C5"/>
    <mergeCell ref="B31:J31"/>
    <mergeCell ref="B18:D18"/>
    <mergeCell ref="B21:D21"/>
    <mergeCell ref="H9:J9"/>
    <mergeCell ref="H6:J6"/>
  </mergeCells>
  <pageMargins left="0.2362204724409449" right="0.2362204724409449" top="0.3937007874015748" bottom="0.2362204724409449" header="0.3149606299212598" footer="0.3149606299212598"/>
  <pageSetup orientation="portrait" paperSize="9" horizontalDpi="4294967293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喜臣 阿部</dc:creator>
  <dcterms:created xsi:type="dcterms:W3CDTF">2026-06-30T18:13:49Z</dcterms:created>
  <dcterms:modified xsi:type="dcterms:W3CDTF">2026-08-31T12:18:48Z</dcterms:modified>
  <cp:lastModifiedBy>喜臣 阿部</cp:lastModifiedBy>
</cp:coreProperties>
</file>